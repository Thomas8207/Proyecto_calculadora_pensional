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t\Downloads\"/>
    </mc:Choice>
  </mc:AlternateContent>
  <xr:revisionPtr revIDLastSave="0" documentId="8_{98C9E7DF-40B8-474B-9043-5C7D15F2405A}" xr6:coauthVersionLast="47" xr6:coauthVersionMax="47" xr10:uidLastSave="{00000000-0000-0000-0000-000000000000}"/>
  <bookViews>
    <workbookView xWindow="-108" yWindow="-108" windowWidth="23256" windowHeight="12456" xr2:uid="{B8935615-B3F4-41A7-891D-83988B98A0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" i="1" l="1"/>
  <c r="O6" i="1"/>
  <c r="O7" i="1"/>
  <c r="O8" i="1"/>
  <c r="O3" i="1"/>
  <c r="O4" i="1"/>
  <c r="N3" i="1"/>
  <c r="N21" i="1"/>
  <c r="K21" i="1"/>
  <c r="L21" i="1" s="1"/>
  <c r="I21" i="1"/>
  <c r="J21" i="1" s="1"/>
  <c r="M21" i="1" s="1"/>
  <c r="N20" i="1"/>
  <c r="K20" i="1"/>
  <c r="L20" i="1" s="1"/>
  <c r="I20" i="1"/>
  <c r="J20" i="1" s="1"/>
  <c r="M20" i="1" s="1"/>
  <c r="N19" i="1"/>
  <c r="K19" i="1"/>
  <c r="L19" i="1" s="1"/>
  <c r="I19" i="1"/>
  <c r="J19" i="1" s="1"/>
  <c r="N18" i="1"/>
  <c r="K18" i="1"/>
  <c r="L18" i="1" s="1"/>
  <c r="N17" i="1"/>
  <c r="L17" i="1"/>
  <c r="K17" i="1"/>
  <c r="I17" i="1"/>
  <c r="J17" i="1" s="1"/>
  <c r="M17" i="1" s="1"/>
  <c r="N16" i="1"/>
  <c r="K16" i="1"/>
  <c r="L16" i="1" s="1"/>
  <c r="I16" i="1"/>
  <c r="J16" i="1" s="1"/>
  <c r="M16" i="1" s="1"/>
  <c r="N14" i="1"/>
  <c r="O14" i="1" s="1"/>
  <c r="K14" i="1"/>
  <c r="L14" i="1" s="1"/>
  <c r="I14" i="1"/>
  <c r="J14" i="1" s="1"/>
  <c r="M14" i="1" s="1"/>
  <c r="N13" i="1"/>
  <c r="O13" i="1" s="1"/>
  <c r="K13" i="1"/>
  <c r="L13" i="1" s="1"/>
  <c r="I13" i="1"/>
  <c r="J13" i="1" s="1"/>
  <c r="M13" i="1" s="1"/>
  <c r="N12" i="1"/>
  <c r="K12" i="1"/>
  <c r="L12" i="1" s="1"/>
  <c r="I12" i="1"/>
  <c r="J12" i="1" s="1"/>
  <c r="M12" i="1" s="1"/>
  <c r="N11" i="1"/>
  <c r="K11" i="1"/>
  <c r="L11" i="1" s="1"/>
  <c r="I11" i="1"/>
  <c r="J11" i="1" s="1"/>
  <c r="M11" i="1" s="1"/>
  <c r="N10" i="1"/>
  <c r="O10" i="1" s="1"/>
  <c r="K10" i="1"/>
  <c r="L10" i="1" s="1"/>
  <c r="I10" i="1"/>
  <c r="J10" i="1" s="1"/>
  <c r="M10" i="1" s="1"/>
  <c r="D21" i="1"/>
  <c r="D4" i="1"/>
  <c r="D5" i="1"/>
  <c r="D6" i="1"/>
  <c r="I6" i="1" s="1"/>
  <c r="J6" i="1" s="1"/>
  <c r="M6" i="1" s="1"/>
  <c r="D7" i="1"/>
  <c r="I7" i="1" s="1"/>
  <c r="J7" i="1" s="1"/>
  <c r="D8" i="1"/>
  <c r="D10" i="1"/>
  <c r="D11" i="1"/>
  <c r="D12" i="1"/>
  <c r="D13" i="1"/>
  <c r="D14" i="1"/>
  <c r="D16" i="1"/>
  <c r="D17" i="1"/>
  <c r="D18" i="1"/>
  <c r="D19" i="1"/>
  <c r="D20" i="1"/>
  <c r="D3" i="1"/>
  <c r="I3" i="1"/>
  <c r="J3" i="1" s="1"/>
  <c r="N8" i="1"/>
  <c r="K8" i="1"/>
  <c r="L8" i="1" s="1"/>
  <c r="I8" i="1"/>
  <c r="J8" i="1" s="1"/>
  <c r="N7" i="1"/>
  <c r="K7" i="1"/>
  <c r="L7" i="1" s="1"/>
  <c r="N6" i="1"/>
  <c r="K6" i="1"/>
  <c r="L6" i="1" s="1"/>
  <c r="N5" i="1"/>
  <c r="K5" i="1"/>
  <c r="L5" i="1" s="1"/>
  <c r="I5" i="1"/>
  <c r="J5" i="1" s="1"/>
  <c r="N4" i="1"/>
  <c r="K4" i="1"/>
  <c r="L4" i="1" s="1"/>
  <c r="I4" i="1"/>
  <c r="J4" i="1" s="1"/>
  <c r="M4" i="1" s="1"/>
  <c r="K3" i="1"/>
  <c r="L3" i="1" s="1"/>
  <c r="M19" i="1" l="1"/>
  <c r="O11" i="1"/>
  <c r="O12" i="1"/>
  <c r="M7" i="1"/>
  <c r="M8" i="1"/>
  <c r="M3" i="1"/>
  <c r="M5" i="1"/>
</calcChain>
</file>

<file path=xl/sharedStrings.xml><?xml version="1.0" encoding="utf-8"?>
<sst xmlns="http://schemas.openxmlformats.org/spreadsheetml/2006/main" count="79" uniqueCount="42">
  <si>
    <t>Casos Normales</t>
  </si>
  <si>
    <t>Caso Normal 1</t>
  </si>
  <si>
    <t>Caso Normal 2</t>
  </si>
  <si>
    <t xml:space="preserve">Caso Normal 3 </t>
  </si>
  <si>
    <t xml:space="preserve">Caso Normal 4 </t>
  </si>
  <si>
    <t xml:space="preserve">Caso Normal 5 </t>
  </si>
  <si>
    <t xml:space="preserve">Caso Normal 6 </t>
  </si>
  <si>
    <t>Casos Excepcionales</t>
  </si>
  <si>
    <t>Edad limite exacta, mujer 57</t>
  </si>
  <si>
    <t>Edad limite exacta, hombre 62</t>
  </si>
  <si>
    <t>r base bajo el piso legal de 55%</t>
  </si>
  <si>
    <t>r total llega exacto al tope de 80%</t>
  </si>
  <si>
    <t>49 semanas extra, no alcanza incremento</t>
  </si>
  <si>
    <t>Casos de Error</t>
  </si>
  <si>
    <t>Error Semanas Insuficientes</t>
  </si>
  <si>
    <t>Error IBL Cero</t>
  </si>
  <si>
    <t>Error SMLMV Cero</t>
  </si>
  <si>
    <t>Error Semanas Negativas</t>
  </si>
  <si>
    <t>Error IBL Negativo</t>
  </si>
  <si>
    <t>Error Edad Insuficiente</t>
  </si>
  <si>
    <t>IBC últimos 10 años</t>
  </si>
  <si>
    <t>IBC toda la vida</t>
  </si>
  <si>
    <t>IBL Calculado</t>
  </si>
  <si>
    <t>SMLMV</t>
  </si>
  <si>
    <t>Semanas
Cotizadas</t>
  </si>
  <si>
    <t>Edad</t>
  </si>
  <si>
    <t>Sexo</t>
  </si>
  <si>
    <t>s
(IBL/SMLMV)</t>
  </si>
  <si>
    <t>r Base
con piso 55%</t>
  </si>
  <si>
    <t>Semanas
Adicionales</t>
  </si>
  <si>
    <t>Incremento
(%)</t>
  </si>
  <si>
    <t>r Total
con tope 80%</t>
  </si>
  <si>
    <t>Cumple
Requisitos</t>
  </si>
  <si>
    <t>Pensión
Mensual</t>
  </si>
  <si>
    <t>M</t>
  </si>
  <si>
    <t>F</t>
  </si>
  <si>
    <t>ERROR, no cumple las 1.300 semanas minimas exigidas para adquirir el derecho a la pension</t>
  </si>
  <si>
    <t>ERROR, el IBL debe ser mayor que cero</t>
  </si>
  <si>
    <t>ERROR, el salario minimo (SMLMV) debe ser mayor que cero</t>
  </si>
  <si>
    <t>ERROR, el numero de semanas cotizadas no puede ser negativo</t>
  </si>
  <si>
    <t>ERROR, el IBL no puede ser negativo</t>
  </si>
  <si>
    <t>ERROR, no cumple la edad minima de 57 años (mujer) para adquirir el derecho a la pension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</si>
</sst>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\ #,##0"/>
    <numFmt numFmtId="165" formatCode="\$#,##0"/>
    <numFmt numFmtId="166" formatCode="0.0000"/>
    <numFmt numFmtId="167" formatCode="0.00\%"/>
    <numFmt numFmtId="168" formatCode="\$#,##0.00"/>
  </numFmts>
  <fonts count="3" x14ac:knownFonts="1">
    <font>
      <sz val="11"/>
      <color theme="1"/>
      <name val="Aptos Narrow"/>
      <family val="2"/>
      <scheme val="minor"/>
    </font>
    <font>
      <b/>
      <sz val="10"/>
      <name val="Arial"/>
      <charset val="1"/>
    </font>
    <font>
      <sz val="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CC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165" fontId="2" fillId="0" borderId="1" xfId="0" applyNumberFormat="1" applyFont="1" applyBorder="1"/>
    <xf numFmtId="3" fontId="2" fillId="0" borderId="1" xfId="0" applyNumberFormat="1" applyFont="1" applyBorder="1"/>
    <xf numFmtId="1" fontId="2" fillId="0" borderId="1" xfId="0" applyNumberFormat="1" applyFont="1" applyBorder="1"/>
    <xf numFmtId="166" fontId="2" fillId="0" borderId="1" xfId="0" applyNumberFormat="1" applyFont="1" applyBorder="1"/>
    <xf numFmtId="167" fontId="2" fillId="0" borderId="1" xfId="0" applyNumberFormat="1" applyFont="1" applyBorder="1"/>
    <xf numFmtId="168" fontId="2" fillId="0" borderId="1" xfId="0" applyNumberFormat="1" applyFont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4" borderId="1" xfId="0" applyFont="1" applyFill="1" applyBorder="1" applyAlignment="1">
      <alignment horizontal="center" vertical="center" wrapText="1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2A87F-1BF7-4509-BE1A-2ECAF5D37DAF}">
  <dimension ref="A2:O21"/>
  <sheetViews>
    <sheetView tabSelected="1" zoomScale="94" zoomScaleNormal="94" workbookViewId="0">
      <selection activeCell="A3" sqref="A3"/>
    </sheetView>
  </sheetViews>
  <sheetFormatPr baseColWidth="10" defaultRowHeight="14.4" x14ac:dyDescent="0.3"/>
  <cols>
    <col min="1" max="1" width="39.5546875" customWidth="1"/>
    <col min="2" max="2" width="19.44140625" customWidth="1"/>
    <col min="3" max="3" width="14.5546875" customWidth="1"/>
    <col min="4" max="4" width="25.5546875" customWidth="1"/>
    <col min="6" max="6" width="21.77734375" customWidth="1"/>
    <col min="9" max="9" width="17.6640625" customWidth="1"/>
    <col min="15" max="15" width="86.109375" customWidth="1"/>
  </cols>
  <sheetData>
    <row r="2" spans="1:15" ht="39.6" x14ac:dyDescent="0.3">
      <c r="A2" s="1" t="s">
        <v>0</v>
      </c>
      <c r="B2" s="13" t="s">
        <v>20</v>
      </c>
      <c r="C2" s="13" t="s">
        <v>21</v>
      </c>
      <c r="D2" s="13" t="s">
        <v>22</v>
      </c>
      <c r="E2" s="5" t="s">
        <v>23</v>
      </c>
      <c r="F2" s="5" t="s">
        <v>24</v>
      </c>
      <c r="G2" s="5" t="s">
        <v>25</v>
      </c>
      <c r="H2" s="5" t="s">
        <v>26</v>
      </c>
      <c r="I2" s="5" t="s">
        <v>27</v>
      </c>
      <c r="J2" s="5" t="s">
        <v>28</v>
      </c>
      <c r="K2" s="5" t="s">
        <v>29</v>
      </c>
      <c r="L2" s="5" t="s">
        <v>30</v>
      </c>
      <c r="M2" s="5" t="s">
        <v>31</v>
      </c>
      <c r="N2" s="5" t="s">
        <v>32</v>
      </c>
      <c r="O2" s="5" t="s">
        <v>33</v>
      </c>
    </row>
    <row r="3" spans="1:15" x14ac:dyDescent="0.3">
      <c r="A3" s="2" t="s">
        <v>1</v>
      </c>
      <c r="B3" s="15">
        <v>9800000</v>
      </c>
      <c r="C3" s="15">
        <v>10000000</v>
      </c>
      <c r="D3" s="15">
        <f>MAX(B3:C3)</f>
        <v>10000000</v>
      </c>
      <c r="E3" s="6">
        <v>2000000</v>
      </c>
      <c r="F3" s="7">
        <v>1300</v>
      </c>
      <c r="G3" s="8">
        <v>65</v>
      </c>
      <c r="H3" s="2" t="s">
        <v>34</v>
      </c>
      <c r="I3" s="9">
        <f>D3/E3</f>
        <v>5</v>
      </c>
      <c r="J3" s="10">
        <f>MAX(65.5-I3*0.5,55)</f>
        <v>63</v>
      </c>
      <c r="K3" s="7">
        <f t="shared" ref="K3:K8" si="0">MAX(F3-1300,0)</f>
        <v>0</v>
      </c>
      <c r="L3" s="10">
        <f t="shared" ref="L3:L8" si="1">INT(K3/50)*1.5</f>
        <v>0</v>
      </c>
      <c r="M3" s="10">
        <f>MIN(J3+L3,80)</f>
        <v>63</v>
      </c>
      <c r="N3" s="2" t="str">
        <f>IF(AND(F3&gt;=1300,IF(H3="F",G3&gt;=57,G3&gt;=62)),"Si","No")</f>
        <v>Si</v>
      </c>
      <c r="O3" s="11">
        <f>IF(N3="Si",ROUND(MAX(D3*M3/100,E3),2),"")</f>
        <v>6300000</v>
      </c>
    </row>
    <row r="4" spans="1:15" x14ac:dyDescent="0.3">
      <c r="A4" s="2" t="s">
        <v>2</v>
      </c>
      <c r="B4" s="15">
        <v>1950000</v>
      </c>
      <c r="C4" s="15">
        <v>2000000</v>
      </c>
      <c r="D4" s="15">
        <f t="shared" ref="D4:D20" si="2">MAX(B4:C4)</f>
        <v>2000000</v>
      </c>
      <c r="E4" s="6">
        <v>2000000</v>
      </c>
      <c r="F4" s="7">
        <v>1300</v>
      </c>
      <c r="G4" s="8">
        <v>60</v>
      </c>
      <c r="H4" s="2" t="s">
        <v>35</v>
      </c>
      <c r="I4" s="9">
        <f t="shared" ref="I4:I8" si="3">D4/E4</f>
        <v>1</v>
      </c>
      <c r="J4" s="10">
        <f t="shared" ref="J4:J8" si="4">MAX(65.5-I4*0.5,55)</f>
        <v>65</v>
      </c>
      <c r="K4" s="7">
        <f t="shared" si="0"/>
        <v>0</v>
      </c>
      <c r="L4" s="10">
        <f t="shared" si="1"/>
        <v>0</v>
      </c>
      <c r="M4" s="10">
        <f t="shared" ref="M4:M8" si="5">MIN(J4+L4,80)</f>
        <v>65</v>
      </c>
      <c r="N4" s="2" t="str">
        <f t="shared" ref="N4:N8" si="6">IF(AND(F4&gt;=1300,IF(H4="F",G4&gt;=57,G4&gt;=62)),"Si","No")</f>
        <v>Si</v>
      </c>
      <c r="O4" s="11">
        <f>IF(N4="Si",ROUND(MAX(D4*M4/100,E4),2),"")</f>
        <v>2000000</v>
      </c>
    </row>
    <row r="5" spans="1:15" x14ac:dyDescent="0.3">
      <c r="A5" s="2" t="s">
        <v>3</v>
      </c>
      <c r="B5" s="15">
        <v>3700000</v>
      </c>
      <c r="C5" s="15">
        <v>3900000</v>
      </c>
      <c r="D5" s="15">
        <f t="shared" si="2"/>
        <v>3900000</v>
      </c>
      <c r="E5" s="6">
        <v>2000000</v>
      </c>
      <c r="F5" s="7">
        <v>1500</v>
      </c>
      <c r="G5" s="8">
        <v>63</v>
      </c>
      <c r="H5" s="2" t="s">
        <v>34</v>
      </c>
      <c r="I5" s="9">
        <f t="shared" si="3"/>
        <v>1.95</v>
      </c>
      <c r="J5" s="10">
        <f t="shared" si="4"/>
        <v>64.525000000000006</v>
      </c>
      <c r="K5" s="7">
        <f t="shared" si="0"/>
        <v>200</v>
      </c>
      <c r="L5" s="10">
        <f t="shared" si="1"/>
        <v>6</v>
      </c>
      <c r="M5" s="10">
        <f t="shared" si="5"/>
        <v>70.525000000000006</v>
      </c>
      <c r="N5" s="2" t="str">
        <f t="shared" si="6"/>
        <v>Si</v>
      </c>
      <c r="O5" s="11">
        <f t="shared" ref="O5:O8" si="7">IF(N5="Si",ROUND(MAX(D5*M5/100,E5),2),"")</f>
        <v>2750475</v>
      </c>
    </row>
    <row r="6" spans="1:15" x14ac:dyDescent="0.3">
      <c r="A6" s="2" t="s">
        <v>4</v>
      </c>
      <c r="B6" s="15">
        <v>15200000</v>
      </c>
      <c r="C6" s="15">
        <v>15600000</v>
      </c>
      <c r="D6" s="15">
        <f t="shared" si="2"/>
        <v>15600000</v>
      </c>
      <c r="E6" s="6">
        <v>2000000</v>
      </c>
      <c r="F6" s="7">
        <v>1800</v>
      </c>
      <c r="G6" s="8">
        <v>64</v>
      </c>
      <c r="H6" s="2" t="s">
        <v>34</v>
      </c>
      <c r="I6" s="9">
        <f t="shared" si="3"/>
        <v>7.8</v>
      </c>
      <c r="J6" s="10">
        <f t="shared" si="4"/>
        <v>61.6</v>
      </c>
      <c r="K6" s="7">
        <f t="shared" si="0"/>
        <v>500</v>
      </c>
      <c r="L6" s="10">
        <f t="shared" si="1"/>
        <v>15</v>
      </c>
      <c r="M6" s="10">
        <f t="shared" si="5"/>
        <v>76.599999999999994</v>
      </c>
      <c r="N6" s="2" t="str">
        <f t="shared" si="6"/>
        <v>Si</v>
      </c>
      <c r="O6" s="11">
        <f t="shared" si="7"/>
        <v>11949600</v>
      </c>
    </row>
    <row r="7" spans="1:15" x14ac:dyDescent="0.3">
      <c r="A7" s="2" t="s">
        <v>5</v>
      </c>
      <c r="B7" s="15">
        <v>2500000</v>
      </c>
      <c r="C7" s="15">
        <v>2600000</v>
      </c>
      <c r="D7" s="15">
        <f t="shared" si="2"/>
        <v>2600000</v>
      </c>
      <c r="E7" s="6">
        <v>2000000</v>
      </c>
      <c r="F7" s="7">
        <v>2500</v>
      </c>
      <c r="G7" s="8">
        <v>65</v>
      </c>
      <c r="H7" s="2" t="s">
        <v>35</v>
      </c>
      <c r="I7" s="9">
        <f t="shared" si="3"/>
        <v>1.3</v>
      </c>
      <c r="J7" s="10">
        <f t="shared" si="4"/>
        <v>64.849999999999994</v>
      </c>
      <c r="K7" s="7">
        <f t="shared" si="0"/>
        <v>1200</v>
      </c>
      <c r="L7" s="10">
        <f t="shared" si="1"/>
        <v>36</v>
      </c>
      <c r="M7" s="10">
        <f t="shared" si="5"/>
        <v>80</v>
      </c>
      <c r="N7" s="2" t="str">
        <f t="shared" si="6"/>
        <v>Si</v>
      </c>
      <c r="O7" s="11">
        <f t="shared" si="7"/>
        <v>2080000</v>
      </c>
    </row>
    <row r="8" spans="1:15" x14ac:dyDescent="0.3">
      <c r="A8" s="2" t="s">
        <v>6</v>
      </c>
      <c r="B8" s="15">
        <v>25000000</v>
      </c>
      <c r="C8" s="15">
        <v>26000000</v>
      </c>
      <c r="D8" s="15">
        <f t="shared" si="2"/>
        <v>26000000</v>
      </c>
      <c r="E8" s="6">
        <v>2000000</v>
      </c>
      <c r="F8" s="7">
        <v>1300</v>
      </c>
      <c r="G8" s="8">
        <v>62</v>
      </c>
      <c r="H8" s="2" t="s">
        <v>34</v>
      </c>
      <c r="I8" s="9">
        <f t="shared" si="3"/>
        <v>13</v>
      </c>
      <c r="J8" s="10">
        <f t="shared" si="4"/>
        <v>59</v>
      </c>
      <c r="K8" s="7">
        <f t="shared" si="0"/>
        <v>0</v>
      </c>
      <c r="L8" s="10">
        <f t="shared" si="1"/>
        <v>0</v>
      </c>
      <c r="M8" s="10">
        <f t="shared" si="5"/>
        <v>59</v>
      </c>
      <c r="N8" s="2" t="str">
        <f t="shared" si="6"/>
        <v>Si</v>
      </c>
      <c r="O8" s="11">
        <f t="shared" si="7"/>
        <v>15340000</v>
      </c>
    </row>
    <row r="9" spans="1:15" ht="39.6" x14ac:dyDescent="0.3">
      <c r="A9" s="3" t="s">
        <v>7</v>
      </c>
      <c r="B9" s="15"/>
      <c r="C9" s="15"/>
      <c r="D9" s="15"/>
      <c r="E9" s="12" t="s">
        <v>23</v>
      </c>
      <c r="F9" s="12" t="s">
        <v>24</v>
      </c>
      <c r="G9" s="12" t="s">
        <v>25</v>
      </c>
      <c r="H9" s="12" t="s">
        <v>26</v>
      </c>
      <c r="I9" s="12" t="s">
        <v>27</v>
      </c>
      <c r="J9" s="12" t="s">
        <v>28</v>
      </c>
      <c r="K9" s="12" t="s">
        <v>29</v>
      </c>
      <c r="L9" s="12" t="s">
        <v>30</v>
      </c>
      <c r="M9" s="12" t="s">
        <v>31</v>
      </c>
      <c r="N9" s="12" t="s">
        <v>32</v>
      </c>
      <c r="O9" s="12" t="s">
        <v>33</v>
      </c>
    </row>
    <row r="10" spans="1:15" ht="19.2" customHeight="1" x14ac:dyDescent="0.3">
      <c r="A10" s="2" t="s">
        <v>8</v>
      </c>
      <c r="B10" s="15">
        <v>1950000</v>
      </c>
      <c r="C10" s="15">
        <v>2000000</v>
      </c>
      <c r="D10" s="15">
        <f t="shared" si="2"/>
        <v>2000000</v>
      </c>
      <c r="E10" s="6">
        <v>2000000</v>
      </c>
      <c r="F10" s="7">
        <v>1300</v>
      </c>
      <c r="G10" s="8">
        <v>57</v>
      </c>
      <c r="H10" s="2" t="s">
        <v>35</v>
      </c>
      <c r="I10" s="9">
        <f>D10/E10</f>
        <v>1</v>
      </c>
      <c r="J10" s="10">
        <f>MAX(65.5-I10*0.5,55)</f>
        <v>65</v>
      </c>
      <c r="K10" s="7">
        <f>MAX(F10-1300,0)</f>
        <v>0</v>
      </c>
      <c r="L10" s="10">
        <f>INT(K10/50)*1.5</f>
        <v>0</v>
      </c>
      <c r="M10" s="10">
        <f>MIN(J10+L10,80)</f>
        <v>65</v>
      </c>
      <c r="N10" s="2" t="str">
        <f>IF(AND(F10&gt;=1300,IF(H10="F",G10&gt;=57,G10&gt;=62)),"Si","No")</f>
        <v>Si</v>
      </c>
      <c r="O10" s="11">
        <f>IF(N10="Si",ROUND(MAX(D10*M10/100,E10),2),"")</f>
        <v>2000000</v>
      </c>
    </row>
    <row r="11" spans="1:15" x14ac:dyDescent="0.3">
      <c r="A11" s="2" t="s">
        <v>9</v>
      </c>
      <c r="B11" s="15">
        <v>1950000</v>
      </c>
      <c r="C11" s="15">
        <v>2000000</v>
      </c>
      <c r="D11" s="15">
        <f t="shared" si="2"/>
        <v>2000000</v>
      </c>
      <c r="E11" s="6">
        <v>2000000</v>
      </c>
      <c r="F11" s="7">
        <v>1300</v>
      </c>
      <c r="G11" s="8">
        <v>62</v>
      </c>
      <c r="H11" s="2" t="s">
        <v>34</v>
      </c>
      <c r="I11" s="9">
        <f>D11/E11</f>
        <v>1</v>
      </c>
      <c r="J11" s="10">
        <f>MAX(65.5-I11*0.5,55)</f>
        <v>65</v>
      </c>
      <c r="K11" s="7">
        <f>MAX(F11-1300,0)</f>
        <v>0</v>
      </c>
      <c r="L11" s="10">
        <f>INT(K11/50)*1.5</f>
        <v>0</v>
      </c>
      <c r="M11" s="10">
        <f>MIN(J11+L11,80)</f>
        <v>65</v>
      </c>
      <c r="N11" s="2" t="str">
        <f>IF(AND(F11&gt;=1300,IF(H11="F",G11&gt;=57,G11&gt;=62)),"Si","No")</f>
        <v>Si</v>
      </c>
      <c r="O11" s="11">
        <f>IF(N11="Si",ROUND(MAX(D11*M11/100,E11),2),"")</f>
        <v>2000000</v>
      </c>
    </row>
    <row r="12" spans="1:15" x14ac:dyDescent="0.3">
      <c r="A12" s="2" t="s">
        <v>10</v>
      </c>
      <c r="B12" s="15">
        <v>32000000</v>
      </c>
      <c r="C12" s="15">
        <v>32500000</v>
      </c>
      <c r="D12" s="15">
        <f t="shared" si="2"/>
        <v>32500000</v>
      </c>
      <c r="E12" s="6">
        <v>2000000</v>
      </c>
      <c r="F12" s="7">
        <v>1300</v>
      </c>
      <c r="G12" s="8">
        <v>65</v>
      </c>
      <c r="H12" s="2" t="s">
        <v>34</v>
      </c>
      <c r="I12" s="9">
        <f>D12/E12</f>
        <v>16.25</v>
      </c>
      <c r="J12" s="10">
        <f>MAX(65.5-I12*0.5,55)</f>
        <v>57.375</v>
      </c>
      <c r="K12" s="7">
        <f>MAX(F12-1300,0)</f>
        <v>0</v>
      </c>
      <c r="L12" s="10">
        <f>INT(K12/50)*1.5</f>
        <v>0</v>
      </c>
      <c r="M12" s="10">
        <f>MIN(J12+L12,80)</f>
        <v>57.375</v>
      </c>
      <c r="N12" s="2" t="str">
        <f>IF(AND(F12&gt;=1300,IF(H12="F",G12&gt;=57,G12&gt;=62)),"Si","No")</f>
        <v>Si</v>
      </c>
      <c r="O12" s="11">
        <f>IF(N12="Si",ROUND(MAX(D12*M12/100,E12),2),"")</f>
        <v>18646875</v>
      </c>
    </row>
    <row r="13" spans="1:15" x14ac:dyDescent="0.3">
      <c r="A13" s="2" t="s">
        <v>11</v>
      </c>
      <c r="B13" s="15">
        <v>1250000</v>
      </c>
      <c r="C13" s="15">
        <v>1300000</v>
      </c>
      <c r="D13" s="15">
        <f t="shared" si="2"/>
        <v>1300000</v>
      </c>
      <c r="E13" s="6">
        <v>2000000</v>
      </c>
      <c r="F13" s="7">
        <v>1800</v>
      </c>
      <c r="G13" s="8">
        <v>60</v>
      </c>
      <c r="H13" s="2" t="s">
        <v>35</v>
      </c>
      <c r="I13" s="9">
        <f>D13/E13</f>
        <v>0.65</v>
      </c>
      <c r="J13" s="10">
        <f>MAX(65.5-I13*0.5,55)</f>
        <v>65.174999999999997</v>
      </c>
      <c r="K13" s="7">
        <f>MAX(F13-1300,0)</f>
        <v>500</v>
      </c>
      <c r="L13" s="10">
        <f>INT(K13/50)*1.5</f>
        <v>15</v>
      </c>
      <c r="M13" s="10">
        <f>MIN(J13+L13,80)</f>
        <v>80</v>
      </c>
      <c r="N13" s="2" t="str">
        <f>IF(AND(F13&gt;=1300,IF(H13="F",G13&gt;=57,G13&gt;=62)),"Si","No")</f>
        <v>Si</v>
      </c>
      <c r="O13" s="11">
        <f>IF(N13="Si",ROUND(MAX(D13*M13/100,E13),2),"")</f>
        <v>2000000</v>
      </c>
    </row>
    <row r="14" spans="1:15" x14ac:dyDescent="0.3">
      <c r="A14" s="2" t="s">
        <v>12</v>
      </c>
      <c r="B14" s="15">
        <v>1250000</v>
      </c>
      <c r="C14" s="15">
        <v>1300000</v>
      </c>
      <c r="D14" s="15">
        <f t="shared" si="2"/>
        <v>1300000</v>
      </c>
      <c r="E14" s="6">
        <v>2000000</v>
      </c>
      <c r="F14" s="7">
        <v>1349</v>
      </c>
      <c r="G14" s="8">
        <v>63</v>
      </c>
      <c r="H14" s="2" t="s">
        <v>34</v>
      </c>
      <c r="I14" s="9">
        <f>D14/E14</f>
        <v>0.65</v>
      </c>
      <c r="J14" s="10">
        <f>MAX(65.5-I14*0.5,55)</f>
        <v>65.174999999999997</v>
      </c>
      <c r="K14" s="7">
        <f>MAX(F14-1300,0)</f>
        <v>49</v>
      </c>
      <c r="L14" s="10">
        <f>INT(K14/50)*1.5</f>
        <v>0</v>
      </c>
      <c r="M14" s="10">
        <f>MIN(J14+L14,80)</f>
        <v>65.174999999999997</v>
      </c>
      <c r="N14" s="2" t="str">
        <f>IF(AND(F14&gt;=1300,IF(H14="F",G14&gt;=57,G14&gt;=62)),"Si","No")</f>
        <v>Si</v>
      </c>
      <c r="O14" s="11">
        <f>IF(N14="Si",ROUND(MAX(D14*M14/100,E14),2),"")</f>
        <v>2000000</v>
      </c>
    </row>
    <row r="15" spans="1:15" ht="39.6" x14ac:dyDescent="0.3">
      <c r="A15" s="4" t="s">
        <v>13</v>
      </c>
      <c r="B15" s="15"/>
      <c r="C15" s="15"/>
      <c r="D15" s="15"/>
      <c r="E15" s="14" t="s">
        <v>23</v>
      </c>
      <c r="F15" s="14" t="s">
        <v>24</v>
      </c>
      <c r="G15" s="14" t="s">
        <v>25</v>
      </c>
      <c r="H15" s="14" t="s">
        <v>26</v>
      </c>
      <c r="I15" s="14" t="s">
        <v>27</v>
      </c>
      <c r="J15" s="14" t="s">
        <v>28</v>
      </c>
      <c r="K15" s="14" t="s">
        <v>29</v>
      </c>
      <c r="L15" s="14" t="s">
        <v>30</v>
      </c>
      <c r="M15" s="14" t="s">
        <v>31</v>
      </c>
      <c r="N15" s="14" t="s">
        <v>32</v>
      </c>
      <c r="O15" s="14" t="s">
        <v>33</v>
      </c>
    </row>
    <row r="16" spans="1:15" x14ac:dyDescent="0.3">
      <c r="A16" s="2" t="s">
        <v>14</v>
      </c>
      <c r="B16" s="15">
        <v>4800000</v>
      </c>
      <c r="C16" s="15">
        <v>5000000</v>
      </c>
      <c r="D16" s="15">
        <f t="shared" si="2"/>
        <v>5000000</v>
      </c>
      <c r="E16" s="6">
        <v>2000000</v>
      </c>
      <c r="F16" s="7">
        <v>1200</v>
      </c>
      <c r="G16" s="8">
        <v>65</v>
      </c>
      <c r="H16" s="2" t="s">
        <v>34</v>
      </c>
      <c r="I16" s="9">
        <f>D16/E16</f>
        <v>2.5</v>
      </c>
      <c r="J16" s="10">
        <f>MAX(65.5-I16*0.5,55)</f>
        <v>64.25</v>
      </c>
      <c r="K16" s="7">
        <f t="shared" ref="K16:K21" si="8">MAX(F16-1300,0)</f>
        <v>0</v>
      </c>
      <c r="L16" s="10">
        <f t="shared" ref="L16:L21" si="9">INT(K16/50)*1.5</f>
        <v>0</v>
      </c>
      <c r="M16" s="10">
        <f>MIN(J16+L16,80)</f>
        <v>64.25</v>
      </c>
      <c r="N16" s="2" t="str">
        <f t="shared" ref="N16:N21" si="10">IF(AND(F16&gt;=1300,IF(H16="F",G16&gt;=57,G16&gt;=62)),"Si","No")</f>
        <v>No</v>
      </c>
      <c r="O16" s="11" t="s">
        <v>36</v>
      </c>
    </row>
    <row r="17" spans="1:15" ht="27.6" customHeight="1" x14ac:dyDescent="0.3">
      <c r="A17" s="2" t="s">
        <v>15</v>
      </c>
      <c r="B17" s="15">
        <v>0</v>
      </c>
      <c r="C17" s="15">
        <v>0</v>
      </c>
      <c r="D17" s="15">
        <f t="shared" si="2"/>
        <v>0</v>
      </c>
      <c r="E17" s="6">
        <v>2000000</v>
      </c>
      <c r="F17" s="7">
        <v>1300</v>
      </c>
      <c r="G17" s="8">
        <v>60</v>
      </c>
      <c r="H17" s="2" t="s">
        <v>35</v>
      </c>
      <c r="I17" s="9">
        <f>D17/E17</f>
        <v>0</v>
      </c>
      <c r="J17" s="10">
        <f>MAX(65.5-I17*0.5,55)</f>
        <v>65.5</v>
      </c>
      <c r="K17" s="7">
        <f t="shared" si="8"/>
        <v>0</v>
      </c>
      <c r="L17" s="10">
        <f t="shared" si="9"/>
        <v>0</v>
      </c>
      <c r="M17" s="10">
        <f>MIN(J17+L17,80)</f>
        <v>65.5</v>
      </c>
      <c r="N17" s="2" t="str">
        <f t="shared" si="10"/>
        <v>Si</v>
      </c>
      <c r="O17" s="11" t="s">
        <v>37</v>
      </c>
    </row>
    <row r="18" spans="1:15" x14ac:dyDescent="0.3">
      <c r="A18" s="2" t="s">
        <v>16</v>
      </c>
      <c r="B18" s="15">
        <v>4800000</v>
      </c>
      <c r="C18" s="15">
        <v>5000000</v>
      </c>
      <c r="D18" s="15">
        <f t="shared" si="2"/>
        <v>5000000</v>
      </c>
      <c r="E18" s="6">
        <v>0</v>
      </c>
      <c r="F18" s="7">
        <v>1300</v>
      </c>
      <c r="G18" s="8">
        <v>62</v>
      </c>
      <c r="H18" s="2" t="s">
        <v>34</v>
      </c>
      <c r="I18" s="9"/>
      <c r="J18" s="10"/>
      <c r="K18" s="7">
        <f t="shared" si="8"/>
        <v>0</v>
      </c>
      <c r="L18" s="10">
        <f t="shared" si="9"/>
        <v>0</v>
      </c>
      <c r="M18" s="10"/>
      <c r="N18" s="2" t="str">
        <f t="shared" si="10"/>
        <v>Si</v>
      </c>
      <c r="O18" s="11" t="s">
        <v>38</v>
      </c>
    </row>
    <row r="19" spans="1:15" x14ac:dyDescent="0.3">
      <c r="A19" s="2" t="s">
        <v>17</v>
      </c>
      <c r="B19" s="15">
        <v>4800000</v>
      </c>
      <c r="C19" s="15">
        <v>5000000</v>
      </c>
      <c r="D19" s="15">
        <f t="shared" si="2"/>
        <v>5000000</v>
      </c>
      <c r="E19" s="6">
        <v>2000000</v>
      </c>
      <c r="F19" s="7">
        <v>-100</v>
      </c>
      <c r="G19" s="8">
        <v>65</v>
      </c>
      <c r="H19" s="2" t="s">
        <v>34</v>
      </c>
      <c r="I19" s="9">
        <f>D19/E19</f>
        <v>2.5</v>
      </c>
      <c r="J19" s="10">
        <f>MAX(65.5-I19*0.5,55)</f>
        <v>64.25</v>
      </c>
      <c r="K19" s="7">
        <f t="shared" si="8"/>
        <v>0</v>
      </c>
      <c r="L19" s="10">
        <f t="shared" si="9"/>
        <v>0</v>
      </c>
      <c r="M19" s="10">
        <f>MIN(J19+L19,80)</f>
        <v>64.25</v>
      </c>
      <c r="N19" s="2" t="str">
        <f t="shared" si="10"/>
        <v>No</v>
      </c>
      <c r="O19" s="11" t="s">
        <v>39</v>
      </c>
    </row>
    <row r="20" spans="1:15" x14ac:dyDescent="0.3">
      <c r="A20" s="2" t="s">
        <v>18</v>
      </c>
      <c r="B20" s="15">
        <v>-2900000</v>
      </c>
      <c r="C20" s="15">
        <v>-3000000</v>
      </c>
      <c r="D20" s="15">
        <f t="shared" si="2"/>
        <v>-2900000</v>
      </c>
      <c r="E20" s="6">
        <v>2000000</v>
      </c>
      <c r="F20" s="7">
        <v>1300</v>
      </c>
      <c r="G20" s="8">
        <v>60</v>
      </c>
      <c r="H20" s="2" t="s">
        <v>35</v>
      </c>
      <c r="I20" s="9">
        <f>D20/E20</f>
        <v>-1.45</v>
      </c>
      <c r="J20" s="10">
        <f>MAX(65.5-I20*0.5,55)</f>
        <v>66.224999999999994</v>
      </c>
      <c r="K20" s="7">
        <f t="shared" si="8"/>
        <v>0</v>
      </c>
      <c r="L20" s="10">
        <f t="shared" si="9"/>
        <v>0</v>
      </c>
      <c r="M20" s="10">
        <f>MIN(J20+L20,80)</f>
        <v>66.224999999999994</v>
      </c>
      <c r="N20" s="2" t="str">
        <f t="shared" si="10"/>
        <v>Si</v>
      </c>
      <c r="O20" s="11" t="s">
        <v>40</v>
      </c>
    </row>
    <row r="21" spans="1:15" x14ac:dyDescent="0.3">
      <c r="A21" s="2" t="s">
        <v>19</v>
      </c>
      <c r="B21" s="15">
        <v>4800000</v>
      </c>
      <c r="C21" s="15">
        <v>5000000</v>
      </c>
      <c r="D21" s="15">
        <f>MAX(B21:C21)</f>
        <v>5000000</v>
      </c>
      <c r="E21" s="6">
        <v>2000000</v>
      </c>
      <c r="F21" s="7">
        <v>1300</v>
      </c>
      <c r="G21" s="8">
        <v>45</v>
      </c>
      <c r="H21" s="2" t="s">
        <v>35</v>
      </c>
      <c r="I21" s="9">
        <f>D21/E21</f>
        <v>2.5</v>
      </c>
      <c r="J21" s="10">
        <f>MAX(65.5-I21*0.5,55)</f>
        <v>64.25</v>
      </c>
      <c r="K21" s="7">
        <f t="shared" si="8"/>
        <v>0</v>
      </c>
      <c r="L21" s="10">
        <f t="shared" si="9"/>
        <v>0</v>
      </c>
      <c r="M21" s="10">
        <f>MIN(J21+L21,80)</f>
        <v>64.25</v>
      </c>
      <c r="N21" s="2" t="str">
        <f t="shared" si="10"/>
        <v>No</v>
      </c>
      <c r="O21" s="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Leontorres</dc:creator>
  <cp:lastModifiedBy>Thomas Leontorres</cp:lastModifiedBy>
  <dcterms:created xsi:type="dcterms:W3CDTF">2026-08-08T23:51:44Z</dcterms:created>
  <dcterms:modified xsi:type="dcterms:W3CDTF">2026-08-12T03:02:36Z</dcterms:modified>
</cp:coreProperties>
</file>