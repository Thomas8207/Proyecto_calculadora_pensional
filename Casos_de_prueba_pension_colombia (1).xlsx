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eont\Downloads\"/>
    </mc:Choice>
  </mc:AlternateContent>
  <xr:revisionPtr revIDLastSave="0" documentId="13_ncr:1_{1818A1E7-7F65-4027-A6E7-8A8D1FCB3683}" xr6:coauthVersionLast="47" xr6:coauthVersionMax="47" xr10:uidLastSave="{00000000-0000-0000-0000-000000000000}"/>
  <bookViews>
    <workbookView xWindow="4848" yWindow="1668" windowWidth="18192" windowHeight="9420" tabRatio="500" xr2:uid="{00000000-000D-0000-FFFF-FFFF00000000}"/>
  </bookViews>
  <sheets>
    <sheet name="Casos Pension Colomb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5" i="1" l="1"/>
  <c r="K5" i="1" s="1"/>
  <c r="M5" i="1" s="1"/>
  <c r="G5" i="1"/>
  <c r="N20" i="1"/>
  <c r="N25" i="1" l="1"/>
  <c r="L25" i="1"/>
  <c r="I25" i="1"/>
  <c r="J25" i="1" s="1"/>
  <c r="G25" i="1"/>
  <c r="H25" i="1" s="1"/>
  <c r="N24" i="1"/>
  <c r="L24" i="1"/>
  <c r="J24" i="1"/>
  <c r="I24" i="1"/>
  <c r="G24" i="1"/>
  <c r="H24" i="1" s="1"/>
  <c r="K24" i="1" s="1"/>
  <c r="N23" i="1"/>
  <c r="L23" i="1"/>
  <c r="J23" i="1"/>
  <c r="I23" i="1"/>
  <c r="G23" i="1"/>
  <c r="H23" i="1" s="1"/>
  <c r="K23" i="1" s="1"/>
  <c r="N22" i="1"/>
  <c r="L22" i="1"/>
  <c r="I22" i="1"/>
  <c r="J22" i="1" s="1"/>
  <c r="N21" i="1"/>
  <c r="L21" i="1"/>
  <c r="J21" i="1"/>
  <c r="I21" i="1"/>
  <c r="G21" i="1"/>
  <c r="H21" i="1" s="1"/>
  <c r="K21" i="1" s="1"/>
  <c r="L20" i="1"/>
  <c r="I20" i="1"/>
  <c r="J20" i="1" s="1"/>
  <c r="G20" i="1"/>
  <c r="H20" i="1" s="1"/>
  <c r="L17" i="1"/>
  <c r="I17" i="1"/>
  <c r="J17" i="1" s="1"/>
  <c r="G17" i="1"/>
  <c r="H17" i="1" s="1"/>
  <c r="L16" i="1"/>
  <c r="J16" i="1"/>
  <c r="I16" i="1"/>
  <c r="G16" i="1"/>
  <c r="H16" i="1" s="1"/>
  <c r="K16" i="1" s="1"/>
  <c r="L15" i="1"/>
  <c r="I15" i="1"/>
  <c r="J15" i="1" s="1"/>
  <c r="G15" i="1"/>
  <c r="H15" i="1" s="1"/>
  <c r="K15" i="1" s="1"/>
  <c r="L14" i="1"/>
  <c r="I14" i="1"/>
  <c r="J14" i="1" s="1"/>
  <c r="G14" i="1"/>
  <c r="H14" i="1" s="1"/>
  <c r="L13" i="1"/>
  <c r="J13" i="1"/>
  <c r="I13" i="1"/>
  <c r="G13" i="1"/>
  <c r="H13" i="1" s="1"/>
  <c r="K13" i="1" s="1"/>
  <c r="L10" i="1"/>
  <c r="I10" i="1"/>
  <c r="J10" i="1" s="1"/>
  <c r="G10" i="1"/>
  <c r="H10" i="1" s="1"/>
  <c r="K10" i="1" s="1"/>
  <c r="L9" i="1"/>
  <c r="I9" i="1"/>
  <c r="J9" i="1" s="1"/>
  <c r="G9" i="1"/>
  <c r="H9" i="1" s="1"/>
  <c r="L8" i="1"/>
  <c r="J8" i="1"/>
  <c r="I8" i="1"/>
  <c r="G8" i="1"/>
  <c r="H8" i="1" s="1"/>
  <c r="K8" i="1" s="1"/>
  <c r="L7" i="1"/>
  <c r="I7" i="1"/>
  <c r="J7" i="1" s="1"/>
  <c r="G7" i="1"/>
  <c r="H7" i="1" s="1"/>
  <c r="K7" i="1" s="1"/>
  <c r="L6" i="1"/>
  <c r="I6" i="1"/>
  <c r="J6" i="1" s="1"/>
  <c r="G6" i="1"/>
  <c r="H6" i="1" s="1"/>
  <c r="L5" i="1"/>
  <c r="J5" i="1"/>
  <c r="I5" i="1"/>
  <c r="M16" i="1" l="1"/>
  <c r="N16" i="1" s="1"/>
  <c r="M13" i="1"/>
  <c r="N13" i="1" s="1"/>
  <c r="M8" i="1"/>
  <c r="N8" i="1" s="1"/>
  <c r="N5" i="1"/>
  <c r="K25" i="1"/>
  <c r="M10" i="1"/>
  <c r="N10" i="1" s="1"/>
  <c r="M9" i="1"/>
  <c r="N9" i="1" s="1"/>
  <c r="K20" i="1"/>
  <c r="M7" i="1"/>
  <c r="N7" i="1" s="1"/>
  <c r="M15" i="1"/>
  <c r="N15" i="1" s="1"/>
  <c r="K6" i="1"/>
  <c r="M6" i="1" s="1"/>
  <c r="N6" i="1" s="1"/>
  <c r="K9" i="1"/>
  <c r="K14" i="1"/>
  <c r="K17" i="1"/>
  <c r="M17" i="1" s="1"/>
  <c r="N17" i="1" s="1"/>
  <c r="M14" i="1"/>
  <c r="N14" i="1" s="1"/>
</calcChain>
</file>

<file path=xl/sharedStrings.xml><?xml version="1.0" encoding="utf-8"?>
<sst xmlns="http://schemas.openxmlformats.org/spreadsheetml/2006/main" count="83" uniqueCount="42">
  <si>
    <t>Casos de Prueba - Cálculo de Pensión de Vejez en Colombia (Régimen de Prima Media - Colpensiones)</t>
  </si>
  <si>
    <t>Casos Normales</t>
  </si>
  <si>
    <t>IBL</t>
  </si>
  <si>
    <t>SMLMV</t>
  </si>
  <si>
    <t>Semanas
Cotizadas</t>
  </si>
  <si>
    <t>Edad</t>
  </si>
  <si>
    <t>Sexo</t>
  </si>
  <si>
    <t>s
(IBL/SMLMV)</t>
  </si>
  <si>
    <t>r Base
con piso 55%</t>
  </si>
  <si>
    <t>Semanas
Adicionales</t>
  </si>
  <si>
    <t>Incremento
(%)</t>
  </si>
  <si>
    <t>r Total
con tope 80%</t>
  </si>
  <si>
    <t>Cumple
Requisitos</t>
  </si>
  <si>
    <t>Pensión
Mensual</t>
  </si>
  <si>
    <t>Descripción del Caso</t>
  </si>
  <si>
    <t>M</t>
  </si>
  <si>
    <t>F</t>
  </si>
  <si>
    <t>Casos Excepcionales</t>
  </si>
  <si>
    <t>Casos de Error</t>
  </si>
  <si>
    <t>Error Semanas Insuficientes</t>
  </si>
  <si>
    <t>ERROR, no cumple las 1.300 semanas minimas exigidas para adquirir el derecho a la pension</t>
  </si>
  <si>
    <t>Error IBL Cero</t>
  </si>
  <si>
    <t>ERROR, el IBL debe ser mayor que cero</t>
  </si>
  <si>
    <t>Error SMLMV Cero</t>
  </si>
  <si>
    <t>ERROR, el salario minimo (SMLMV) debe ser mayor que cero</t>
  </si>
  <si>
    <t>Error Semanas Negativas</t>
  </si>
  <si>
    <t>ERROR, el numero de semanas cotizadas no puede ser negativo</t>
  </si>
  <si>
    <t>Error IBL Negativo</t>
  </si>
  <si>
    <t>ERROR, el IBL no puede ser negativo</t>
  </si>
  <si>
    <t>Error Edad Insuficiente</t>
  </si>
  <si>
    <t xml:space="preserve">Caso Normal 3 </t>
  </si>
  <si>
    <t>Caso Normal 2</t>
  </si>
  <si>
    <t>Caso Normal 1</t>
  </si>
  <si>
    <t xml:space="preserve">Caso Normal 4 </t>
  </si>
  <si>
    <t xml:space="preserve">Caso Normal 5 </t>
  </si>
  <si>
    <t xml:space="preserve">Caso Normal 6 </t>
  </si>
  <si>
    <t>ERROR, no cumple la edad minima de 57 años (mujer) para adquirir el derecho a la pension</t>
  </si>
  <si>
    <t>Edad limite exacta, mujer 57</t>
  </si>
  <si>
    <t>Edad limite exacta, hombre 62</t>
  </si>
  <si>
    <t>r base bajo el piso legal de 55%</t>
  </si>
  <si>
    <t>r total llega exacto al tope de 80%</t>
  </si>
  <si>
    <t>49 semanas extra, no alcanza incremento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</si>
</sst>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000"/>
    <numFmt numFmtId="166" formatCode="0.00\%"/>
    <numFmt numFmtId="167" formatCode="\$#,##0.00"/>
  </numFmts>
  <fonts count="5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CC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4" borderId="1" xfId="0" applyFill="1" applyBorder="1"/>
    <xf numFmtId="0" fontId="0" fillId="0" borderId="1" xfId="0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3" fontId="4" fillId="0" borderId="1" xfId="0" applyNumberFormat="1" applyFont="1" applyBorder="1"/>
    <xf numFmtId="1" fontId="4" fillId="0" borderId="1" xfId="0" applyNumberFormat="1" applyFont="1" applyBorder="1"/>
    <xf numFmtId="165" fontId="4" fillId="0" borderId="1" xfId="0" applyNumberFormat="1" applyFont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6"/>
  <sheetViews>
    <sheetView showGridLines="0" tabSelected="1" zoomScale="43" zoomScaleNormal="43" workbookViewId="0">
      <pane ySplit="4" topLeftCell="A5" activePane="bottomLeft" state="frozen"/>
      <selection pane="bottomLeft" activeCell="C4" sqref="C4"/>
    </sheetView>
  </sheetViews>
  <sheetFormatPr baseColWidth="10" defaultColWidth="8.6640625" defaultRowHeight="14.4" x14ac:dyDescent="0.3"/>
  <cols>
    <col min="1" max="1" width="37.88671875" customWidth="1"/>
    <col min="2" max="2" width="27.21875" customWidth="1"/>
    <col min="3" max="4" width="12" customWidth="1"/>
    <col min="5" max="5" width="8" customWidth="1"/>
    <col min="6" max="6" width="7" customWidth="1"/>
    <col min="7" max="7" width="20.88671875" customWidth="1"/>
    <col min="8" max="8" width="16.5546875" customWidth="1"/>
    <col min="9" max="9" width="19.6640625" customWidth="1"/>
    <col min="10" max="10" width="24.33203125" customWidth="1"/>
    <col min="11" max="11" width="16.6640625" customWidth="1"/>
    <col min="12" max="12" width="12" customWidth="1"/>
    <col min="13" max="13" width="86.44140625" customWidth="1"/>
    <col min="14" max="14" width="89.6640625" customWidth="1"/>
  </cols>
  <sheetData>
    <row r="1" spans="1:14" ht="16.8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2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30" customHeight="1" x14ac:dyDescent="0.3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</row>
    <row r="5" spans="1:14" ht="33.75" customHeight="1" x14ac:dyDescent="0.3">
      <c r="A5" s="5" t="s">
        <v>32</v>
      </c>
      <c r="B5" s="6">
        <v>10000000</v>
      </c>
      <c r="C5" s="6">
        <v>2000000</v>
      </c>
      <c r="D5" s="7">
        <v>1300</v>
      </c>
      <c r="E5" s="8">
        <v>65</v>
      </c>
      <c r="F5" s="5" t="s">
        <v>15</v>
      </c>
      <c r="G5" s="9">
        <f>B5/C5</f>
        <v>5</v>
      </c>
      <c r="H5" s="10">
        <f>MAX(65.5-G5*0.5,55)</f>
        <v>63</v>
      </c>
      <c r="I5" s="7">
        <f t="shared" ref="I5:I10" si="0">MAX(D5-1300,0)</f>
        <v>0</v>
      </c>
      <c r="J5" s="10">
        <f t="shared" ref="J5:J10" si="1">INT(I5/50)*1.5</f>
        <v>0</v>
      </c>
      <c r="K5" s="10">
        <f>MIN(H5+J5,80)</f>
        <v>63</v>
      </c>
      <c r="L5" s="5" t="str">
        <f t="shared" ref="L5:L10" si="2">IF(AND(D5&gt;=1300,IF(F5="F",E5&gt;=57,E5&gt;=62)),"Si","No")</f>
        <v>Si</v>
      </c>
      <c r="M5" s="11">
        <f>IF(L5="Si",ROUND(MAX(B5*K5/100,C5),2),"")</f>
        <v>6300000</v>
      </c>
      <c r="N5" s="12" t="str">
        <f t="shared" ref="N5:N10" si="3">A5&amp;"\n\nEntradas:\n- IBL: "&amp;B5&amp;"\n- SMLMV: "&amp;C5&amp;"\n- Semanas cotizadas: "&amp;D5&amp;"\n- Edad: "&amp;E5&amp;"\n- Sexo: "&amp;F5&amp;"\nSalidas\nPensión: "&amp;M5</f>
        <v>Caso Normal 1\n\nEntradas:\n- IBL: 10000000\n- SMLMV: 2000000\n- Semanas cotizadas: 1300\n- Edad: 65\n- Sexo: M\nSalidas\nPensión: 6300000</v>
      </c>
    </row>
    <row r="6" spans="1:14" ht="33.75" customHeight="1" x14ac:dyDescent="0.3">
      <c r="A6" s="5" t="s">
        <v>31</v>
      </c>
      <c r="B6" s="6">
        <v>2000000</v>
      </c>
      <c r="C6" s="6">
        <v>2000000</v>
      </c>
      <c r="D6" s="7">
        <v>1300</v>
      </c>
      <c r="E6" s="8">
        <v>60</v>
      </c>
      <c r="F6" s="5" t="s">
        <v>16</v>
      </c>
      <c r="G6" s="9">
        <f t="shared" ref="G6:G10" si="4">B6/C6</f>
        <v>1</v>
      </c>
      <c r="H6" s="10">
        <f t="shared" ref="H6:H10" si="5">MAX(65.5-G6*0.5,55)</f>
        <v>65</v>
      </c>
      <c r="I6" s="7">
        <f t="shared" si="0"/>
        <v>0</v>
      </c>
      <c r="J6" s="10">
        <f t="shared" si="1"/>
        <v>0</v>
      </c>
      <c r="K6" s="10">
        <f t="shared" ref="K6:K10" si="6">MIN(H6+J6,80)</f>
        <v>65</v>
      </c>
      <c r="L6" s="5" t="str">
        <f t="shared" si="2"/>
        <v>Si</v>
      </c>
      <c r="M6" s="11">
        <f t="shared" ref="M6:M10" si="7">IF(L6="Si",ROUND(MAX(B6*K6/100,C6),2),"")</f>
        <v>2000000</v>
      </c>
      <c r="N6" s="12" t="str">
        <f t="shared" si="3"/>
        <v>Caso Normal 2\n\nEntradas:\n- IBL: 2000000\n- SMLMV: 2000000\n- Semanas cotizadas: 1300\n- Edad: 60\n- Sexo: F\nSalidas\nPensión: 2000000</v>
      </c>
    </row>
    <row r="7" spans="1:14" ht="33.75" customHeight="1" x14ac:dyDescent="0.3">
      <c r="A7" s="5" t="s">
        <v>30</v>
      </c>
      <c r="B7" s="6">
        <v>3900000</v>
      </c>
      <c r="C7" s="6">
        <v>2000000</v>
      </c>
      <c r="D7" s="7">
        <v>1500</v>
      </c>
      <c r="E7" s="8">
        <v>63</v>
      </c>
      <c r="F7" s="5" t="s">
        <v>15</v>
      </c>
      <c r="G7" s="9">
        <f t="shared" si="4"/>
        <v>1.95</v>
      </c>
      <c r="H7" s="10">
        <f t="shared" si="5"/>
        <v>64.525000000000006</v>
      </c>
      <c r="I7" s="7">
        <f t="shared" si="0"/>
        <v>200</v>
      </c>
      <c r="J7" s="10">
        <f t="shared" si="1"/>
        <v>6</v>
      </c>
      <c r="K7" s="10">
        <f t="shared" si="6"/>
        <v>70.525000000000006</v>
      </c>
      <c r="L7" s="5" t="str">
        <f t="shared" si="2"/>
        <v>Si</v>
      </c>
      <c r="M7" s="11">
        <f t="shared" si="7"/>
        <v>2750475</v>
      </c>
      <c r="N7" s="12" t="str">
        <f t="shared" si="3"/>
        <v>Caso Normal 3 \n\nEntradas:\n- IBL: 3900000\n- SMLMV: 2000000\n- Semanas cotizadas: 1500\n- Edad: 63\n- Sexo: M\nSalidas\nPensión: 2750475</v>
      </c>
    </row>
    <row r="8" spans="1:14" ht="33.75" customHeight="1" x14ac:dyDescent="0.3">
      <c r="A8" s="5" t="s">
        <v>33</v>
      </c>
      <c r="B8" s="6">
        <v>15600000</v>
      </c>
      <c r="C8" s="6">
        <v>2000000</v>
      </c>
      <c r="D8" s="7">
        <v>1800</v>
      </c>
      <c r="E8" s="8">
        <v>64</v>
      </c>
      <c r="F8" s="5" t="s">
        <v>15</v>
      </c>
      <c r="G8" s="9">
        <f t="shared" si="4"/>
        <v>7.8</v>
      </c>
      <c r="H8" s="10">
        <f t="shared" si="5"/>
        <v>61.6</v>
      </c>
      <c r="I8" s="7">
        <f t="shared" si="0"/>
        <v>500</v>
      </c>
      <c r="J8" s="10">
        <f t="shared" si="1"/>
        <v>15</v>
      </c>
      <c r="K8" s="10">
        <f t="shared" si="6"/>
        <v>76.599999999999994</v>
      </c>
      <c r="L8" s="5" t="str">
        <f t="shared" si="2"/>
        <v>Si</v>
      </c>
      <c r="M8" s="11">
        <f t="shared" si="7"/>
        <v>11949600</v>
      </c>
      <c r="N8" s="12" t="str">
        <f t="shared" si="3"/>
        <v>Caso Normal 4 \n\nEntradas:\n- IBL: 15600000\n- SMLMV: 2000000\n- Semanas cotizadas: 1800\n- Edad: 64\n- Sexo: M\nSalidas\nPensión: 11949600</v>
      </c>
    </row>
    <row r="9" spans="1:14" ht="33.75" customHeight="1" x14ac:dyDescent="0.3">
      <c r="A9" s="5" t="s">
        <v>34</v>
      </c>
      <c r="B9" s="6">
        <v>2600000</v>
      </c>
      <c r="C9" s="6">
        <v>2000000</v>
      </c>
      <c r="D9" s="7">
        <v>2500</v>
      </c>
      <c r="E9" s="8">
        <v>65</v>
      </c>
      <c r="F9" s="5" t="s">
        <v>16</v>
      </c>
      <c r="G9" s="9">
        <f t="shared" si="4"/>
        <v>1.3</v>
      </c>
      <c r="H9" s="10">
        <f t="shared" si="5"/>
        <v>64.849999999999994</v>
      </c>
      <c r="I9" s="7">
        <f t="shared" si="0"/>
        <v>1200</v>
      </c>
      <c r="J9" s="10">
        <f t="shared" si="1"/>
        <v>36</v>
      </c>
      <c r="K9" s="10">
        <f t="shared" si="6"/>
        <v>80</v>
      </c>
      <c r="L9" s="5" t="str">
        <f t="shared" si="2"/>
        <v>Si</v>
      </c>
      <c r="M9" s="11">
        <f t="shared" si="7"/>
        <v>2080000</v>
      </c>
      <c r="N9" s="12" t="str">
        <f t="shared" si="3"/>
        <v>Caso Normal 5 \n\nEntradas:\n- IBL: 2600000\n- SMLMV: 2000000\n- Semanas cotizadas: 2500\n- Edad: 65\n- Sexo: F\nSalidas\nPensión: 2080000</v>
      </c>
    </row>
    <row r="10" spans="1:14" ht="33.75" customHeight="1" x14ac:dyDescent="0.3">
      <c r="A10" s="5" t="s">
        <v>35</v>
      </c>
      <c r="B10" s="6">
        <v>26000000</v>
      </c>
      <c r="C10" s="6">
        <v>2000000</v>
      </c>
      <c r="D10" s="7">
        <v>1300</v>
      </c>
      <c r="E10" s="8">
        <v>62</v>
      </c>
      <c r="F10" s="5" t="s">
        <v>15</v>
      </c>
      <c r="G10" s="9">
        <f t="shared" si="4"/>
        <v>13</v>
      </c>
      <c r="H10" s="10">
        <f t="shared" si="5"/>
        <v>59</v>
      </c>
      <c r="I10" s="7">
        <f t="shared" si="0"/>
        <v>0</v>
      </c>
      <c r="J10" s="10">
        <f t="shared" si="1"/>
        <v>0</v>
      </c>
      <c r="K10" s="10">
        <f t="shared" si="6"/>
        <v>59</v>
      </c>
      <c r="L10" s="5" t="str">
        <f t="shared" si="2"/>
        <v>Si</v>
      </c>
      <c r="M10" s="11">
        <f t="shared" si="7"/>
        <v>15340000</v>
      </c>
      <c r="N10" s="12" t="str">
        <f t="shared" si="3"/>
        <v>Caso Normal 6 \n\nEntradas:\n- IBL: 26000000\n- SMLMV: 2000000\n- Semanas cotizadas: 1300\n- Edad: 62\n- Sexo: M\nSalidas\nPensión: 15340000</v>
      </c>
    </row>
    <row r="11" spans="1:14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30" customHeight="1" x14ac:dyDescent="0.3">
      <c r="A12" s="13" t="s">
        <v>17</v>
      </c>
      <c r="B12" s="14" t="s">
        <v>2</v>
      </c>
      <c r="C12" s="14" t="s">
        <v>3</v>
      </c>
      <c r="D12" s="14" t="s">
        <v>4</v>
      </c>
      <c r="E12" s="14" t="s">
        <v>5</v>
      </c>
      <c r="F12" s="14" t="s">
        <v>6</v>
      </c>
      <c r="G12" s="14" t="s">
        <v>7</v>
      </c>
      <c r="H12" s="14" t="s">
        <v>8</v>
      </c>
      <c r="I12" s="14" t="s">
        <v>9</v>
      </c>
      <c r="J12" s="14" t="s">
        <v>10</v>
      </c>
      <c r="K12" s="14" t="s">
        <v>11</v>
      </c>
      <c r="L12" s="14" t="s">
        <v>12</v>
      </c>
      <c r="M12" s="14" t="s">
        <v>13</v>
      </c>
      <c r="N12" s="14" t="s">
        <v>14</v>
      </c>
    </row>
    <row r="13" spans="1:14" ht="33.75" customHeight="1" x14ac:dyDescent="0.3">
      <c r="A13" s="5" t="s">
        <v>37</v>
      </c>
      <c r="B13" s="6">
        <v>2000000</v>
      </c>
      <c r="C13" s="6">
        <v>2000000</v>
      </c>
      <c r="D13" s="7">
        <v>1300</v>
      </c>
      <c r="E13" s="8">
        <v>57</v>
      </c>
      <c r="F13" s="5" t="s">
        <v>16</v>
      </c>
      <c r="G13" s="9">
        <f>B13/C13</f>
        <v>1</v>
      </c>
      <c r="H13" s="10">
        <f>MAX(65.5-G13*0.5,55)</f>
        <v>65</v>
      </c>
      <c r="I13" s="7">
        <f>MAX(D13-1300,0)</f>
        <v>0</v>
      </c>
      <c r="J13" s="10">
        <f>INT(I13/50)*1.5</f>
        <v>0</v>
      </c>
      <c r="K13" s="10">
        <f>MIN(H13+J13,80)</f>
        <v>65</v>
      </c>
      <c r="L13" s="5" t="str">
        <f>IF(AND(D13&gt;=1300,IF(F13="F",E13&gt;=57,E13&gt;=62)),"Si","No")</f>
        <v>Si</v>
      </c>
      <c r="M13" s="11">
        <f>IF(L13="Si",ROUND(MAX(B13*K13/100,C13),2),"")</f>
        <v>2000000</v>
      </c>
      <c r="N13" s="12" t="str">
        <f>A13&amp;"\n\nEntradas:\n- IBL: "&amp;B13&amp;"\n- SMLMV: "&amp;C13&amp;"\n- Semanas cotizadas: "&amp;D13&amp;"\n- Edad: "&amp;E13&amp;"\n- Sexo: "&amp;F13&amp;"\nSalidas\nPensión: "&amp;M13</f>
        <v>Edad limite exacta, mujer 57\n\nEntradas:\n- IBL: 2000000\n- SMLMV: 2000000\n- Semanas cotizadas: 1300\n- Edad: 57\n- Sexo: F\nSalidas\nPensión: 2000000</v>
      </c>
    </row>
    <row r="14" spans="1:14" ht="33.75" customHeight="1" x14ac:dyDescent="0.3">
      <c r="A14" s="5" t="s">
        <v>38</v>
      </c>
      <c r="B14" s="6">
        <v>2000000</v>
      </c>
      <c r="C14" s="6">
        <v>2000000</v>
      </c>
      <c r="D14" s="7">
        <v>1300</v>
      </c>
      <c r="E14" s="8">
        <v>62</v>
      </c>
      <c r="F14" s="5" t="s">
        <v>15</v>
      </c>
      <c r="G14" s="9">
        <f>B14/C14</f>
        <v>1</v>
      </c>
      <c r="H14" s="10">
        <f>MAX(65.5-G14*0.5,55)</f>
        <v>65</v>
      </c>
      <c r="I14" s="7">
        <f>MAX(D14-1300,0)</f>
        <v>0</v>
      </c>
      <c r="J14" s="10">
        <f>INT(I14/50)*1.5</f>
        <v>0</v>
      </c>
      <c r="K14" s="10">
        <f>MIN(H14+J14,80)</f>
        <v>65</v>
      </c>
      <c r="L14" s="5" t="str">
        <f>IF(AND(D14&gt;=1300,IF(F14="F",E14&gt;=57,E14&gt;=62)),"Si","No")</f>
        <v>Si</v>
      </c>
      <c r="M14" s="11">
        <f>IF(L14="Si",ROUND(MAX(B14*K14/100,C14),2),"")</f>
        <v>2000000</v>
      </c>
      <c r="N14" s="12" t="str">
        <f>A14&amp;"\n\nEntradas:\n- IBL: "&amp;B14&amp;"\n- SMLMV: "&amp;C14&amp;"\n- Semanas cotizadas: "&amp;D14&amp;"\n- Edad: "&amp;E14&amp;"\n- Sexo: "&amp;F14&amp;"\nSalidas\nPensión: "&amp;M14</f>
        <v>Edad limite exacta, hombre 62\n\nEntradas:\n- IBL: 2000000\n- SMLMV: 2000000\n- Semanas cotizadas: 1300\n- Edad: 62\n- Sexo: M\nSalidas\nPensión: 2000000</v>
      </c>
    </row>
    <row r="15" spans="1:14" ht="33.75" customHeight="1" x14ac:dyDescent="0.3">
      <c r="A15" s="5" t="s">
        <v>39</v>
      </c>
      <c r="B15" s="6">
        <v>32500000</v>
      </c>
      <c r="C15" s="6">
        <v>2000000</v>
      </c>
      <c r="D15" s="7">
        <v>1300</v>
      </c>
      <c r="E15" s="8">
        <v>65</v>
      </c>
      <c r="F15" s="5" t="s">
        <v>15</v>
      </c>
      <c r="G15" s="9">
        <f>B15/C15</f>
        <v>16.25</v>
      </c>
      <c r="H15" s="10">
        <f>MAX(65.5-G15*0.5,55)</f>
        <v>57.375</v>
      </c>
      <c r="I15" s="7">
        <f>MAX(D15-1300,0)</f>
        <v>0</v>
      </c>
      <c r="J15" s="10">
        <f>INT(I15/50)*1.5</f>
        <v>0</v>
      </c>
      <c r="K15" s="10">
        <f>MIN(H15+J15,80)</f>
        <v>57.375</v>
      </c>
      <c r="L15" s="5" t="str">
        <f>IF(AND(D15&gt;=1300,IF(F15="F",E15&gt;=57,E15&gt;=62)),"Si","No")</f>
        <v>Si</v>
      </c>
      <c r="M15" s="11">
        <f>IF(L15="Si",ROUND(MAX(B15*K15/100,C15),2),"")</f>
        <v>18646875</v>
      </c>
      <c r="N15" s="12" t="str">
        <f>A15&amp;"\n\nEntradas:\n- IBL: "&amp;B15&amp;"\n- SMLMV: "&amp;C15&amp;"\n- Semanas cotizadas: "&amp;D15&amp;"\n- Edad: "&amp;E15&amp;"\n- Sexo: "&amp;F15&amp;"\nSalidas\nPensión: "&amp;M15</f>
        <v>r base bajo el piso legal de 55%\n\nEntradas:\n- IBL: 32500000\n- SMLMV: 2000000\n- Semanas cotizadas: 1300\n- Edad: 65\n- Sexo: M\nSalidas\nPensión: 18646875</v>
      </c>
    </row>
    <row r="16" spans="1:14" ht="33.75" customHeight="1" x14ac:dyDescent="0.3">
      <c r="A16" s="5" t="s">
        <v>40</v>
      </c>
      <c r="B16" s="6">
        <v>1300000</v>
      </c>
      <c r="C16" s="6">
        <v>2000000</v>
      </c>
      <c r="D16" s="7">
        <v>1800</v>
      </c>
      <c r="E16" s="8">
        <v>60</v>
      </c>
      <c r="F16" s="5" t="s">
        <v>16</v>
      </c>
      <c r="G16" s="9">
        <f>B16/C16</f>
        <v>0.65</v>
      </c>
      <c r="H16" s="10">
        <f>MAX(65.5-G16*0.5,55)</f>
        <v>65.174999999999997</v>
      </c>
      <c r="I16" s="7">
        <f>MAX(D16-1300,0)</f>
        <v>500</v>
      </c>
      <c r="J16" s="10">
        <f>INT(I16/50)*1.5</f>
        <v>15</v>
      </c>
      <c r="K16" s="10">
        <f>MIN(H16+J16,80)</f>
        <v>80</v>
      </c>
      <c r="L16" s="5" t="str">
        <f>IF(AND(D16&gt;=1300,IF(F16="F",E16&gt;=57,E16&gt;=62)),"Si","No")</f>
        <v>Si</v>
      </c>
      <c r="M16" s="11">
        <f>IF(L16="Si",ROUND(MAX(B16*K16/100,C16),2),"")</f>
        <v>2000000</v>
      </c>
      <c r="N16" s="12" t="str">
        <f>A16&amp;"\n\nEntradas:\n- IBL: "&amp;B16&amp;"\n- SMLMV: "&amp;C16&amp;"\n- Semanas cotizadas: "&amp;D16&amp;"\n- Edad: "&amp;E16&amp;"\n- Sexo: "&amp;F16&amp;"\nSalidas\nPensión: "&amp;M16</f>
        <v>r total llega exacto al tope de 80%\n\nEntradas:\n- IBL: 1300000\n- SMLMV: 2000000\n- Semanas cotizadas: 1800\n- Edad: 60\n- Sexo: F\nSalidas\nPensión: 2000000</v>
      </c>
    </row>
    <row r="17" spans="1:14" ht="33.75" customHeight="1" x14ac:dyDescent="0.3">
      <c r="A17" s="5" t="s">
        <v>41</v>
      </c>
      <c r="B17" s="6">
        <v>1300000</v>
      </c>
      <c r="C17" s="6">
        <v>2000000</v>
      </c>
      <c r="D17" s="7">
        <v>1349</v>
      </c>
      <c r="E17" s="8">
        <v>63</v>
      </c>
      <c r="F17" s="5" t="s">
        <v>15</v>
      </c>
      <c r="G17" s="9">
        <f>B17/C17</f>
        <v>0.65</v>
      </c>
      <c r="H17" s="10">
        <f>MAX(65.5-G17*0.5,55)</f>
        <v>65.174999999999997</v>
      </c>
      <c r="I17" s="7">
        <f>MAX(D17-1300,0)</f>
        <v>49</v>
      </c>
      <c r="J17" s="10">
        <f>INT(I17/50)*1.5</f>
        <v>0</v>
      </c>
      <c r="K17" s="10">
        <f>MIN(H17+J17,80)</f>
        <v>65.174999999999997</v>
      </c>
      <c r="L17" s="5" t="str">
        <f>IF(AND(D17&gt;=1300,IF(F17="F",E17&gt;=57,E17&gt;=62)),"Si","No")</f>
        <v>Si</v>
      </c>
      <c r="M17" s="11">
        <f>IF(L17="Si",ROUND(MAX(B17*K17/100,C17),2),"")</f>
        <v>2000000</v>
      </c>
      <c r="N17" s="12" t="str">
        <f>A17&amp;"\n\nEntradas:\n- IBL: "&amp;B17&amp;"\n- SMLMV: "&amp;C17&amp;"\n- Semanas cotizadas: "&amp;D17&amp;"\n- Edad: "&amp;E17&amp;"\n- Sexo: "&amp;F17&amp;"\nSalidas\nPensión: "&amp;M17</f>
        <v>49 semanas extra, no alcanza incremento\n\nEntradas:\n- IBL: 1300000\n- SMLMV: 2000000\n- Semanas cotizadas: 1349\n- Edad: 63\n- Sexo: M\nSalidas\nPensión: 2000000</v>
      </c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30" customHeight="1" x14ac:dyDescent="0.3">
      <c r="A19" s="15" t="s">
        <v>18</v>
      </c>
      <c r="B19" s="16" t="s">
        <v>2</v>
      </c>
      <c r="C19" s="16" t="s">
        <v>3</v>
      </c>
      <c r="D19" s="16" t="s">
        <v>4</v>
      </c>
      <c r="E19" s="16" t="s">
        <v>5</v>
      </c>
      <c r="F19" s="16" t="s">
        <v>6</v>
      </c>
      <c r="G19" s="16" t="s">
        <v>7</v>
      </c>
      <c r="H19" s="16" t="s">
        <v>8</v>
      </c>
      <c r="I19" s="16" t="s">
        <v>9</v>
      </c>
      <c r="J19" s="16" t="s">
        <v>10</v>
      </c>
      <c r="K19" s="16" t="s">
        <v>11</v>
      </c>
      <c r="L19" s="16" t="s">
        <v>12</v>
      </c>
      <c r="M19" s="16" t="s">
        <v>13</v>
      </c>
      <c r="N19" s="16" t="s">
        <v>14</v>
      </c>
    </row>
    <row r="20" spans="1:14" ht="33.75" customHeight="1" x14ac:dyDescent="0.3">
      <c r="A20" s="5" t="s">
        <v>19</v>
      </c>
      <c r="B20" s="6">
        <v>5000000</v>
      </c>
      <c r="C20" s="6">
        <v>2000000</v>
      </c>
      <c r="D20" s="7">
        <v>1200</v>
      </c>
      <c r="E20" s="8">
        <v>65</v>
      </c>
      <c r="F20" s="5" t="s">
        <v>15</v>
      </c>
      <c r="G20" s="9">
        <f>B20/C20</f>
        <v>2.5</v>
      </c>
      <c r="H20" s="10">
        <f>MAX(65.5-G20*0.5,55)</f>
        <v>64.25</v>
      </c>
      <c r="I20" s="7">
        <f t="shared" ref="I20:I25" si="8">MAX(D20-1300,0)</f>
        <v>0</v>
      </c>
      <c r="J20" s="10">
        <f t="shared" ref="J20:J25" si="9">INT(I20/50)*1.5</f>
        <v>0</v>
      </c>
      <c r="K20" s="10">
        <f>MIN(H20+J20,80)</f>
        <v>64.25</v>
      </c>
      <c r="L20" s="5" t="str">
        <f t="shared" ref="L20:L25" si="10">IF(AND(D20&gt;=1300,IF(F20="F",E20&gt;=57,E20&gt;=62)),"Si","No")</f>
        <v>No</v>
      </c>
      <c r="M20" s="11" t="s">
        <v>20</v>
      </c>
      <c r="N20" s="12" t="str">
        <f>A20&amp;"\n\nEntradas:\n- IBL: "&amp;B20&amp;"\n- SMLMV: "&amp;C20&amp;"\n- Semanas cotizadas: "&amp;D20&amp;"\n- Edad: "&amp;E20&amp;"\n- Sexo: "&amp;F20&amp;"\nSalidas\nPensión: "&amp;M20</f>
        <v>Error Semanas Insuficientes\n\nEntradas:\n- IBL: 5000000\n- SMLMV: 2000000\n- Semanas cotizadas: 1200\n- Edad: 65\n- Sexo: M\nSalidas\nPensión: ERROR, no cumple las 1.300 semanas minimas exigidas para adquirir el derecho a la pension</v>
      </c>
    </row>
    <row r="21" spans="1:14" ht="33.75" customHeight="1" x14ac:dyDescent="0.3">
      <c r="A21" s="5" t="s">
        <v>21</v>
      </c>
      <c r="B21" s="6">
        <v>0</v>
      </c>
      <c r="C21" s="6">
        <v>2000000</v>
      </c>
      <c r="D21" s="7">
        <v>1300</v>
      </c>
      <c r="E21" s="8">
        <v>60</v>
      </c>
      <c r="F21" s="5" t="s">
        <v>16</v>
      </c>
      <c r="G21" s="9">
        <f>B21/C21</f>
        <v>0</v>
      </c>
      <c r="H21" s="10">
        <f>MAX(65.5-G21*0.5,55)</f>
        <v>65.5</v>
      </c>
      <c r="I21" s="7">
        <f t="shared" si="8"/>
        <v>0</v>
      </c>
      <c r="J21" s="10">
        <f t="shared" si="9"/>
        <v>0</v>
      </c>
      <c r="K21" s="10">
        <f>MIN(H21+J21,80)</f>
        <v>65.5</v>
      </c>
      <c r="L21" s="5" t="str">
        <f t="shared" si="10"/>
        <v>Si</v>
      </c>
      <c r="M21" s="11" t="s">
        <v>22</v>
      </c>
      <c r="N21" s="12" t="str">
        <f t="shared" ref="N21:N25" si="11">A21&amp;"\n\nEntradas:\n- IBL: "&amp;B21&amp;"\n- SMLMV: "&amp;C21&amp;"\n- Semanas cotizadas: "&amp;D21&amp;"\n- Edad: "&amp;E21&amp;"\n- Sexo: "&amp;F21&amp;"\nSalidas\nPensión: "&amp;M21</f>
        <v>Error IBL Cero\n\nEntradas:\n- IBL: 0\n- SMLMV: 2000000\n- Semanas cotizadas: 1300\n- Edad: 60\n- Sexo: F\nSalidas\nPensión: ERROR, el IBL debe ser mayor que cero</v>
      </c>
    </row>
    <row r="22" spans="1:14" ht="33.75" customHeight="1" x14ac:dyDescent="0.3">
      <c r="A22" s="5" t="s">
        <v>23</v>
      </c>
      <c r="B22" s="6">
        <v>5000000</v>
      </c>
      <c r="C22" s="6">
        <v>0</v>
      </c>
      <c r="D22" s="7">
        <v>1300</v>
      </c>
      <c r="E22" s="8">
        <v>62</v>
      </c>
      <c r="F22" s="5" t="s">
        <v>15</v>
      </c>
      <c r="G22" s="9"/>
      <c r="H22" s="10"/>
      <c r="I22" s="7">
        <f t="shared" si="8"/>
        <v>0</v>
      </c>
      <c r="J22" s="10">
        <f t="shared" si="9"/>
        <v>0</v>
      </c>
      <c r="K22" s="10"/>
      <c r="L22" s="5" t="str">
        <f t="shared" si="10"/>
        <v>Si</v>
      </c>
      <c r="M22" s="11" t="s">
        <v>24</v>
      </c>
      <c r="N22" s="12" t="str">
        <f t="shared" si="11"/>
        <v>Error SMLMV Cero\n\nEntradas:\n- IBL: 5000000\n- SMLMV: 0\n- Semanas cotizadas: 1300\n- Edad: 62\n- Sexo: M\nSalidas\nPensión: ERROR, el salario minimo (SMLMV) debe ser mayor que cero</v>
      </c>
    </row>
    <row r="23" spans="1:14" ht="33.75" customHeight="1" x14ac:dyDescent="0.3">
      <c r="A23" s="5" t="s">
        <v>25</v>
      </c>
      <c r="B23" s="6">
        <v>5000000</v>
      </c>
      <c r="C23" s="6">
        <v>2000000</v>
      </c>
      <c r="D23" s="7">
        <v>-100</v>
      </c>
      <c r="E23" s="8">
        <v>65</v>
      </c>
      <c r="F23" s="5" t="s">
        <v>15</v>
      </c>
      <c r="G23" s="9">
        <f>B23/C23</f>
        <v>2.5</v>
      </c>
      <c r="H23" s="10">
        <f>MAX(65.5-G23*0.5,55)</f>
        <v>64.25</v>
      </c>
      <c r="I23" s="7">
        <f t="shared" si="8"/>
        <v>0</v>
      </c>
      <c r="J23" s="10">
        <f t="shared" si="9"/>
        <v>0</v>
      </c>
      <c r="K23" s="10">
        <f>MIN(H23+J23,80)</f>
        <v>64.25</v>
      </c>
      <c r="L23" s="5" t="str">
        <f t="shared" si="10"/>
        <v>No</v>
      </c>
      <c r="M23" s="11" t="s">
        <v>26</v>
      </c>
      <c r="N23" s="12" t="str">
        <f t="shared" si="11"/>
        <v>Error Semanas Negativas\n\nEntradas:\n- IBL: 5000000\n- SMLMV: 2000000\n- Semanas cotizadas: -100\n- Edad: 65\n- Sexo: M\nSalidas\nPensión: ERROR, el numero de semanas cotizadas no puede ser negativo</v>
      </c>
    </row>
    <row r="24" spans="1:14" ht="33.75" customHeight="1" x14ac:dyDescent="0.3">
      <c r="A24" s="5" t="s">
        <v>27</v>
      </c>
      <c r="B24" s="6">
        <v>-3000000</v>
      </c>
      <c r="C24" s="6">
        <v>2000000</v>
      </c>
      <c r="D24" s="7">
        <v>1300</v>
      </c>
      <c r="E24" s="8">
        <v>60</v>
      </c>
      <c r="F24" s="5" t="s">
        <v>16</v>
      </c>
      <c r="G24" s="9">
        <f>B24/C24</f>
        <v>-1.5</v>
      </c>
      <c r="H24" s="10">
        <f>MAX(65.5-G24*0.5,55)</f>
        <v>66.25</v>
      </c>
      <c r="I24" s="7">
        <f t="shared" si="8"/>
        <v>0</v>
      </c>
      <c r="J24" s="10">
        <f t="shared" si="9"/>
        <v>0</v>
      </c>
      <c r="K24" s="10">
        <f>MIN(H24+J24,80)</f>
        <v>66.25</v>
      </c>
      <c r="L24" s="5" t="str">
        <f t="shared" si="10"/>
        <v>Si</v>
      </c>
      <c r="M24" s="11" t="s">
        <v>28</v>
      </c>
      <c r="N24" s="12" t="str">
        <f t="shared" si="11"/>
        <v>Error IBL Negativo\n\nEntradas:\n- IBL: -3000000\n- SMLMV: 2000000\n- Semanas cotizadas: 1300\n- Edad: 60\n- Sexo: F\nSalidas\nPensión: ERROR, el IBL no puede ser negativo</v>
      </c>
    </row>
    <row r="25" spans="1:14" ht="33.75" customHeight="1" x14ac:dyDescent="0.3">
      <c r="A25" s="5" t="s">
        <v>29</v>
      </c>
      <c r="B25" s="6">
        <v>5000000</v>
      </c>
      <c r="C25" s="6">
        <v>2000000</v>
      </c>
      <c r="D25" s="7">
        <v>1300</v>
      </c>
      <c r="E25" s="8">
        <v>45</v>
      </c>
      <c r="F25" s="5" t="s">
        <v>16</v>
      </c>
      <c r="G25" s="9">
        <f>B25/C25</f>
        <v>2.5</v>
      </c>
      <c r="H25" s="10">
        <f>MAX(65.5-G25*0.5,55)</f>
        <v>64.25</v>
      </c>
      <c r="I25" s="7">
        <f t="shared" si="8"/>
        <v>0</v>
      </c>
      <c r="J25" s="10">
        <f t="shared" si="9"/>
        <v>0</v>
      </c>
      <c r="K25" s="10">
        <f>MIN(H25+J25,80)</f>
        <v>64.25</v>
      </c>
      <c r="L25" s="5" t="str">
        <f t="shared" si="10"/>
        <v>No</v>
      </c>
      <c r="M25" s="11" t="s">
        <v>36</v>
      </c>
      <c r="N25" s="12" t="str">
        <f t="shared" si="11"/>
        <v>Error Edad Insuficiente\n\nEntradas:\n- IBL: 5000000\n- SMLMV: 2000000\n- Semanas cotizadas: 1300\n- Edad: 45\n- Sexo: F\nSalidas\nPensión: ERROR, no cumple la edad minima de 57 años (mujer) para adquirir el derecho a la pension</v>
      </c>
    </row>
    <row r="26" spans="1:1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Pension Colombia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Thomas Leontorres</cp:lastModifiedBy>
  <cp:revision>0</cp:revision>
  <dcterms:created xsi:type="dcterms:W3CDTF">2026-07-30T03:19:29Z</dcterms:created>
  <dcterms:modified xsi:type="dcterms:W3CDTF">2026-08-05T02:18:26Z</dcterms:modified>
  <dc:language>en-US</dc:language>
</cp:coreProperties>
</file>